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afael/Desktop/"/>
    </mc:Choice>
  </mc:AlternateContent>
  <xr:revisionPtr revIDLastSave="0" documentId="13_ncr:1_{7777F995-15F3-2F44-B1F9-175EA8B450D3}" xr6:coauthVersionLast="47" xr6:coauthVersionMax="47" xr10:uidLastSave="{00000000-0000-0000-0000-000000000000}"/>
  <bookViews>
    <workbookView xWindow="0" yWindow="660" windowWidth="29400" windowHeight="18460" activeTab="1" xr2:uid="{5F66160F-2CD3-3047-A75B-AA6227ABA487}"/>
  </bookViews>
  <sheets>
    <sheet name="EM ATIVAÇÃO" sheetId="1" r:id="rId1"/>
    <sheet name="ATIVADOS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9" i="2" l="1"/>
  <c r="G54" i="2"/>
  <c r="G53" i="2"/>
  <c r="G52" i="2"/>
  <c r="G51" i="2"/>
  <c r="G50" i="2"/>
  <c r="G49" i="2"/>
  <c r="G48" i="2"/>
  <c r="G47" i="2"/>
  <c r="G46" i="2"/>
  <c r="G45" i="2"/>
  <c r="G44" i="2"/>
  <c r="G43" i="2"/>
  <c r="G42" i="2"/>
  <c r="G41" i="2"/>
  <c r="G40" i="2"/>
  <c r="G39" i="2"/>
  <c r="G38" i="2"/>
  <c r="G37" i="2"/>
  <c r="G36" i="2"/>
  <c r="G35" i="2"/>
  <c r="G34" i="2"/>
  <c r="G33" i="2"/>
  <c r="G32" i="2"/>
  <c r="G30" i="2"/>
  <c r="G29" i="2"/>
  <c r="G28" i="2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9" i="2"/>
  <c r="G8" i="2"/>
  <c r="G7" i="2"/>
  <c r="G6" i="2"/>
  <c r="G5" i="2"/>
  <c r="G4" i="2"/>
  <c r="G3" i="2"/>
  <c r="I6" i="1"/>
  <c r="I5" i="1"/>
  <c r="I3" i="1"/>
  <c r="I2" i="1"/>
</calcChain>
</file>

<file path=xl/sharedStrings.xml><?xml version="1.0" encoding="utf-8"?>
<sst xmlns="http://schemas.openxmlformats.org/spreadsheetml/2006/main" count="327" uniqueCount="163">
  <si>
    <t>CLIENTE</t>
  </si>
  <si>
    <t>UNIDADE</t>
  </si>
  <si>
    <t>PRODUTO</t>
  </si>
  <si>
    <t>SERVIÇO</t>
  </si>
  <si>
    <t>DETALHAMENTO</t>
  </si>
  <si>
    <t>DATA DE INICIO</t>
  </si>
  <si>
    <t>DATA PREVISTA</t>
  </si>
  <si>
    <t>% CONCLUÍDO</t>
  </si>
  <si>
    <t>TEMPO TOTAL</t>
  </si>
  <si>
    <t>VALOR PARCIAL</t>
  </si>
  <si>
    <t>VALOR TOTAL</t>
  </si>
  <si>
    <t>STATUS</t>
  </si>
  <si>
    <t>KOMECO</t>
  </si>
  <si>
    <t>SANTA CATARINA</t>
  </si>
  <si>
    <t>CONTACT CENTER / CRM</t>
  </si>
  <si>
    <t>CRM / CONTACT CENTER / TOIP</t>
  </si>
  <si>
    <t>EM IMPLANTAÇÃO TELEVENDAS ATIVO (OK)/RECEPTIVO E OPERAÇÃO ASSISTIDA (06/02/26), SAT (09/02-27/02 - COM OPERAÇÃO ASSISTIDA). SAC (02/03/26-27/03 - COM OPERAÇÃO ASSISTIDA) POC FINALIZADA EM 09/01/26. AGUARDANDO DEFINIÇÃO COMERCIAL PARA INICIO DA COBRANÇA. (REUNIÃO AGENDADA P/ 20/01/26)</t>
  </si>
  <si>
    <t>EM ANDAMENTO</t>
  </si>
  <si>
    <t>INTERCEMENT</t>
  </si>
  <si>
    <t>13 UNIDADES</t>
  </si>
  <si>
    <t>CLOUD PBX</t>
  </si>
  <si>
    <t>845 LINHAS // 780 PORTABILIDADES / 50 LINHAS NOVAS/ 15 LINHA EM ABERTO</t>
  </si>
  <si>
    <t>5 UNIDADES: 01  UNIDADE (Linha novas - Claro), 07 UNIDADES (Enviaremos GW) Entregamos 2 unidades, Cajati-SP -OK  e Apiai-SP - OK, Ijaci-OK, Bodoquena - OK , Campo Formoso-OK, Casarina e S˜qo Miguel dos Campos (Pendentes de configuraçã0 - agendada para 20/01. EM TODAS AS UNIDADES O CLIENTE FALTA REGISTRAR OS RAMAIS, TODA A PARTE NOSSA FOI FEITA. Nações Unidas e Nova Santa Rita (Portabilidade - OK/Validada), Pedro Leopoldo e Santana do Paraiso (Agendada a portabilidade para 20/01). Precisamos definir o inicio daas cobranças. Candiota (Linhas novas, aguardando a Claro disponibilizar. Inicio com 10 depois 40).</t>
  </si>
  <si>
    <t>ULTRACARGO</t>
  </si>
  <si>
    <t>9 UNIDADES</t>
  </si>
  <si>
    <t>TOIP</t>
  </si>
  <si>
    <t>215 LINHAS</t>
  </si>
  <si>
    <t>INICIAMOS A IMPLANTAÇÃO (MATRIZ (OK), VILA DO CONDE (OK), ITAQUI (OK), SUAPE (PENDENTE CLIENTE), ARATU (PENDENCIA CLIENTE), RIO,PAIMEIRANTE  E SANTOS (SEM DATA - AGUARDANDO O CLIENTE PASSAR AS INFORMAÇÕES DAS LINHAS QUE SERÃO PORTADAS (PREVISÃO: 20/02/26). COBRANÇA JÁ ENCAMINAHDA AO ADM (23/01/26) DAS LINHAS ATIVADAS NOVAS.</t>
  </si>
  <si>
    <t xml:space="preserve"> </t>
  </si>
  <si>
    <t>UNIDAS</t>
  </si>
  <si>
    <t>SÃO LUIZ - SLZ7</t>
  </si>
  <si>
    <t>1 DDR/ 2 VIRTUAIS</t>
  </si>
  <si>
    <t>TERESINA</t>
  </si>
  <si>
    <t>AGUARDANDO A INSTALAÇÃO DA INTERNET NO LOCAL - EQUIPAMENTOS ENVIADOS</t>
  </si>
  <si>
    <t>SEBRAE</t>
  </si>
  <si>
    <t>CEARA</t>
  </si>
  <si>
    <t>TELEFONE IP / SOFTFONE / INTEGRAÇÃO TEAMS / LICENÇA OSV / URA / MESA OPERADORA</t>
  </si>
  <si>
    <t xml:space="preserve">REUNIÃO DE ENTENDIMENTO REALIZADA 02/12 (INTEGRAÇÃO TEAMS EM STAND BY PELO CLIENTE), URA (AGUARDANDO O MODELO PELO CLIENTE), MESA OPERADORA (CLIENTE NÃO QUIS SOLICITAR), APARELHOS E SOFTFONES (ENVIADO 50 TIPO III (CHEGOU 26/01/26), os demais, 35 TIPO 1 (CHEGOU NA BASE - 30/01/26) e 10 TIPO 2 (CHEGAOU NA BASE DIA 30/01/26).  AS 40 LICENÇAS SOFTFONES ESTÃO FORAM CONFIGURADAS  (30/01/26 - PREVISÃO) </t>
  </si>
  <si>
    <t>TUPY - MWM</t>
  </si>
  <si>
    <t>OURO VERDE DO OESTE - PR</t>
  </si>
  <si>
    <t>3 LINHAS / 3 APARELHOS (DP10)</t>
  </si>
  <si>
    <t>PAINEL DE ATIVAÇÕES - 2025</t>
  </si>
  <si>
    <t>ESCOPO</t>
  </si>
  <si>
    <t>DATA DE RECEBIMENTO DA FICHA</t>
  </si>
  <si>
    <t>DATA DE ATIVAÇÃO</t>
  </si>
  <si>
    <t>TEMPO PARA ATIVAÇÃO</t>
  </si>
  <si>
    <t>MÊS</t>
  </si>
  <si>
    <t>VOTORANTIM</t>
  </si>
  <si>
    <t>SÃO PAULO</t>
  </si>
  <si>
    <t xml:space="preserve">VIDEOCONFERÊNCIA  </t>
  </si>
  <si>
    <t>01 CAMERA POLY E70</t>
  </si>
  <si>
    <t>JANEIRO</t>
  </si>
  <si>
    <t>LIMA - PERU</t>
  </si>
  <si>
    <t>01 MIC DE EXPANSÃO</t>
  </si>
  <si>
    <t>BOLD</t>
  </si>
  <si>
    <t>MARINGÁ</t>
  </si>
  <si>
    <t>01 RAMAL</t>
  </si>
  <si>
    <t>GATEWAY</t>
  </si>
  <si>
    <t>TUPY</t>
  </si>
  <si>
    <t>JOINVILLE</t>
  </si>
  <si>
    <t>20 APARELHOS IP</t>
  </si>
  <si>
    <t>FEVEREIRO</t>
  </si>
  <si>
    <t>POC UNIDAS</t>
  </si>
  <si>
    <t>01 X50 COM TC8 - 20 DIAS</t>
  </si>
  <si>
    <t>POC - DENADAI</t>
  </si>
  <si>
    <t>01 APARELHO IP (GXP ou Audiocodes)</t>
  </si>
  <si>
    <t xml:space="preserve"> CARGLASS</t>
  </si>
  <si>
    <t>CONTACT CENTER</t>
  </si>
  <si>
    <t>15 LICENÇAS XCONTACT (POR 3 MESES - 26/02 A 26/05)</t>
  </si>
  <si>
    <t>MASON</t>
  </si>
  <si>
    <t>MARITUBA</t>
  </si>
  <si>
    <t>PORTABILIDADE - 18 DDR</t>
  </si>
  <si>
    <t>MARÇO</t>
  </si>
  <si>
    <t xml:space="preserve">PORTABILIDADE (06 DDR) </t>
  </si>
  <si>
    <t>POC TUPY</t>
  </si>
  <si>
    <t>01 X70 + TC8 + TRIO + MIC</t>
  </si>
  <si>
    <t>20 LICENÇAS XCONTACT (ATIVAÇÃO POR 03 MESES) 17/03 A 17/03</t>
  </si>
  <si>
    <t>CAXIAS DO SUL-RS</t>
  </si>
  <si>
    <t>01 DDR - COM PORTABILIDADE</t>
  </si>
  <si>
    <t>ABRIL</t>
  </si>
  <si>
    <t>FEIRA DE SANTANA - BA</t>
  </si>
  <si>
    <t>01 DDR + APARELHOS</t>
  </si>
  <si>
    <t>05 GXV 3275</t>
  </si>
  <si>
    <t>BH-Z9</t>
  </si>
  <si>
    <t>1 PORTABILIDADE E 02 NUMEROS VIRTUAIS</t>
  </si>
  <si>
    <t>BS-B7</t>
  </si>
  <si>
    <t>VV-BS</t>
  </si>
  <si>
    <t>01 PORTABILOIDADE E 06 RAMAIS VIRTUAIS</t>
  </si>
  <si>
    <t>MCZ-6</t>
  </si>
  <si>
    <t>3 DDR - 02 APARELHOS - 01 PORTABILIDADE</t>
  </si>
  <si>
    <t>MAIO</t>
  </si>
  <si>
    <t>SALJ</t>
  </si>
  <si>
    <t>MAO5</t>
  </si>
  <si>
    <t>FOR2</t>
  </si>
  <si>
    <t>VABS</t>
  </si>
  <si>
    <t>7 DDR - 06 APARELHOS - 1 PORTABILIDADE</t>
  </si>
  <si>
    <t xml:space="preserve">ITJ3  </t>
  </si>
  <si>
    <t>3 APARELHOS, 1 DDR - SEM PORTABILIDADE</t>
  </si>
  <si>
    <t>JUNHO</t>
  </si>
  <si>
    <t>CGR2</t>
  </si>
  <si>
    <t>1 PORTABILIDADE - 4 APARELHOS</t>
  </si>
  <si>
    <t>UMUARANA - PR</t>
  </si>
  <si>
    <t>PORTABILIDADE - 01 DDR</t>
  </si>
  <si>
    <t>CIANORTE - PR</t>
  </si>
  <si>
    <t>PORTBILIDADE - 01 DDR</t>
  </si>
  <si>
    <t>POUSO ALEGRE - MG</t>
  </si>
  <si>
    <t>PORTBILIDADE - 04 DDR / APARELHOS</t>
  </si>
  <si>
    <t>CIJUN</t>
  </si>
  <si>
    <t>PROJETO</t>
  </si>
  <si>
    <t>MIGRAÇÃO DE PROJETO ANTIGO/NOVO</t>
  </si>
  <si>
    <t>-</t>
  </si>
  <si>
    <t>EVERTECH / SINQUIA</t>
  </si>
  <si>
    <t>0800 C/ ENTRONCAMENTO DE 10 LINHAS</t>
  </si>
  <si>
    <t>CARGLASS</t>
  </si>
  <si>
    <t>30 PA'S</t>
  </si>
  <si>
    <t>PONTAPORÃ-MS</t>
  </si>
  <si>
    <t>10 DDR/ APARELHOS - COM PORTABILIDADE</t>
  </si>
  <si>
    <t>JULHO</t>
  </si>
  <si>
    <t>ANASTÁCIO-MS</t>
  </si>
  <si>
    <t>10 DDR/APARELHOS - COM PORTABILIDADE (LINHAS NOVAS)</t>
  </si>
  <si>
    <t>NAVIRAÍ - MS</t>
  </si>
  <si>
    <t>10 DDR/APARELHOS - COM PORTABILIDADE</t>
  </si>
  <si>
    <t>MARACAJÚ-MS</t>
  </si>
  <si>
    <t>07 DDR/APARELHOS  - COM PORTABILIDADE (LINHAS NOVAS)</t>
  </si>
  <si>
    <t>POC TERMOTECNICA</t>
  </si>
  <si>
    <t>1 DDR S/ APARELHO (3 DIAS)</t>
  </si>
  <si>
    <t>PARANAVAI - PR</t>
  </si>
  <si>
    <t>PORTABILIDADE - 10 DDR/APARELHOS</t>
  </si>
  <si>
    <t>AGOSTO</t>
  </si>
  <si>
    <t>SCALA</t>
  </si>
  <si>
    <t>MINAS GERAIS</t>
  </si>
  <si>
    <t>X30</t>
  </si>
  <si>
    <t>FOCO</t>
  </si>
  <si>
    <t>RECIFE</t>
  </si>
  <si>
    <t>24 DDR E APARELHOS</t>
  </si>
  <si>
    <t>CISER</t>
  </si>
  <si>
    <t>MIC DE EXPANSÃO PARA O X50</t>
  </si>
  <si>
    <t>FERTIGROUP</t>
  </si>
  <si>
    <t>GI</t>
  </si>
  <si>
    <t>GESTÃO DE CHAMADAS / INVENTÁRIO</t>
  </si>
  <si>
    <t>VIRACOPOS</t>
  </si>
  <si>
    <t>1DDR (CLARO) / 03 RAMAIS VIRTUAIS</t>
  </si>
  <si>
    <t>POC RAUMAK</t>
  </si>
  <si>
    <t>215 LINHAS (8 UNIDADES)</t>
  </si>
  <si>
    <t>SETEMBRO</t>
  </si>
  <si>
    <t>ELOPAR</t>
  </si>
  <si>
    <t>PORTABILIDADE 60 LINHAS (DATORÁ)</t>
  </si>
  <si>
    <t>30 NOVAS PAA'S</t>
  </si>
  <si>
    <t>CONTACT CENTER / CLOUD PBX</t>
  </si>
  <si>
    <t>03 INSTANCIAS DE WA / 01 GW</t>
  </si>
  <si>
    <t>OUTUBRO</t>
  </si>
  <si>
    <t>SINQUIA</t>
  </si>
  <si>
    <t>TUPAN</t>
  </si>
  <si>
    <t>50 PORTABILIDADES E 01 NUMERO CHAVE</t>
  </si>
  <si>
    <t>AVANTIA</t>
  </si>
  <si>
    <t>20 DDR - PORTABILIDADE</t>
  </si>
  <si>
    <t xml:space="preserve"> VOTORANTIM (Memória)</t>
  </si>
  <si>
    <t>X52</t>
  </si>
  <si>
    <t>NOVEMBRO</t>
  </si>
  <si>
    <t>CEBRACE - META LEAR</t>
  </si>
  <si>
    <t>01 DDR / 05 NUM VIRTUAIS (OSMOBILE)</t>
  </si>
  <si>
    <t>DEZEMBRO</t>
  </si>
  <si>
    <t>PAINEL DE ATIVAÇÕES - 2026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</si>
</sst>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1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0"/>
      <name val="Aptos Narrow"/>
      <scheme val="minor"/>
    </font>
    <font>
      <b/>
      <sz val="12"/>
      <color theme="1"/>
      <name val="Aptos Narrow"/>
      <scheme val="minor"/>
    </font>
    <font>
      <b/>
      <sz val="12"/>
      <color theme="0"/>
      <name val="Calibri"/>
      <family val="2"/>
    </font>
    <font>
      <sz val="11"/>
      <color theme="1"/>
      <name val="Aptos Narrow"/>
      <family val="2"/>
      <scheme val="minor"/>
    </font>
    <font>
      <sz val="12"/>
      <color theme="1"/>
      <name val="Calibri"/>
      <family val="2"/>
    </font>
    <font>
      <sz val="12"/>
      <color theme="1"/>
      <name val="Aptos Narrow"/>
      <scheme val="minor"/>
    </font>
    <font>
      <sz val="11"/>
      <color theme="1"/>
      <name val="Aptos Narrow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rgb="FF0000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4" fontId="6" fillId="0" borderId="0">
      <alignment horizontal="left" vertical="center" wrapText="1"/>
    </xf>
    <xf numFmtId="0" fontId="6" fillId="0" borderId="0">
      <alignment horizontal="left" vertical="center" wrapText="1"/>
    </xf>
  </cellStyleXfs>
  <cellXfs count="39">
    <xf numFmtId="0" fontId="0" fillId="0" borderId="0" xfId="0"/>
    <xf numFmtId="0" fontId="3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/>
    </xf>
    <xf numFmtId="9" fontId="2" fillId="3" borderId="1" xfId="2" applyFont="1" applyFill="1" applyBorder="1" applyAlignment="1">
      <alignment horizontal="center" vertical="center"/>
    </xf>
    <xf numFmtId="9" fontId="1" fillId="3" borderId="1" xfId="2" applyFont="1" applyFill="1" applyBorder="1" applyAlignment="1">
      <alignment horizontal="center" vertical="center"/>
    </xf>
    <xf numFmtId="44" fontId="4" fillId="0" borderId="1" xfId="1" applyFont="1" applyBorder="1" applyAlignment="1">
      <alignment horizontal="center" vertical="center"/>
    </xf>
    <xf numFmtId="0" fontId="4" fillId="0" borderId="0" xfId="0" applyFont="1"/>
    <xf numFmtId="0" fontId="5" fillId="4" borderId="1" xfId="0" applyFont="1" applyFill="1" applyBorder="1" applyAlignment="1">
      <alignment horizontal="center" vertical="center" wrapText="1"/>
    </xf>
    <xf numFmtId="14" fontId="7" fillId="3" borderId="1" xfId="0" applyNumberFormat="1" applyFont="1" applyFill="1" applyBorder="1" applyAlignment="1">
      <alignment horizontal="center" vertical="center" wrapText="1"/>
    </xf>
    <xf numFmtId="0" fontId="9" fillId="3" borderId="1" xfId="4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17" fontId="0" fillId="3" borderId="1" xfId="0" applyNumberFormat="1" applyFill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14" fontId="9" fillId="3" borderId="1" xfId="4" applyNumberFormat="1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 wrapText="1"/>
    </xf>
    <xf numFmtId="9" fontId="0" fillId="3" borderId="1" xfId="2" applyFont="1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14" fontId="0" fillId="3" borderId="0" xfId="0" applyNumberFormat="1" applyFill="1" applyAlignment="1">
      <alignment horizontal="center" vertical="center"/>
    </xf>
    <xf numFmtId="0" fontId="7" fillId="3" borderId="0" xfId="0" applyFont="1" applyFill="1" applyAlignment="1">
      <alignment horizontal="center" vertical="center" wrapText="1"/>
    </xf>
    <xf numFmtId="17" fontId="0" fillId="3" borderId="0" xfId="0" applyNumberFormat="1" applyFill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14" fontId="0" fillId="3" borderId="2" xfId="0" applyNumberForma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 wrapText="1"/>
    </xf>
    <xf numFmtId="17" fontId="0" fillId="3" borderId="2" xfId="0" applyNumberFormat="1" applyFill="1" applyBorder="1" applyAlignment="1">
      <alignment horizontal="center" vertical="center"/>
    </xf>
    <xf numFmtId="0" fontId="0" fillId="3" borderId="1" xfId="0" applyFont="1" applyFill="1" applyBorder="1" applyAlignment="1">
      <alignment horizontal="center" vertical="center" wrapText="1"/>
    </xf>
    <xf numFmtId="0" fontId="0" fillId="3" borderId="1" xfId="0" applyFont="1" applyFill="1" applyBorder="1" applyAlignment="1">
      <alignment horizontal="center" vertical="center"/>
    </xf>
    <xf numFmtId="14" fontId="6" fillId="3" borderId="1" xfId="3" applyFont="1" applyFill="1" applyBorder="1" applyAlignment="1">
      <alignment horizontal="center" vertical="center" wrapText="1"/>
    </xf>
    <xf numFmtId="17" fontId="0" fillId="3" borderId="1" xfId="0" applyNumberFormat="1" applyFont="1" applyFill="1" applyBorder="1" applyAlignment="1">
      <alignment horizontal="center" vertical="center"/>
    </xf>
    <xf numFmtId="0" fontId="6" fillId="3" borderId="1" xfId="4" applyFont="1" applyFill="1" applyBorder="1" applyAlignment="1">
      <alignment horizontal="center" vertical="center" wrapText="1"/>
    </xf>
    <xf numFmtId="14" fontId="0" fillId="3" borderId="1" xfId="0" applyNumberFormat="1" applyFont="1" applyFill="1" applyBorder="1" applyAlignment="1">
      <alignment horizontal="center" vertical="center"/>
    </xf>
    <xf numFmtId="0" fontId="0" fillId="3" borderId="1" xfId="0" applyFont="1" applyFill="1" applyBorder="1" applyAlignment="1">
      <alignment horizontal="center"/>
    </xf>
    <xf numFmtId="14" fontId="0" fillId="3" borderId="1" xfId="0" applyNumberFormat="1" applyFont="1" applyFill="1" applyBorder="1" applyAlignment="1">
      <alignment horizontal="center"/>
    </xf>
    <xf numFmtId="0" fontId="0" fillId="3" borderId="1" xfId="0" applyFont="1" applyFill="1" applyBorder="1"/>
    <xf numFmtId="14" fontId="0" fillId="3" borderId="1" xfId="0" applyNumberFormat="1" applyFont="1" applyFill="1" applyBorder="1"/>
    <xf numFmtId="0" fontId="8" fillId="3" borderId="1" xfId="4" applyFont="1" applyFill="1" applyBorder="1" applyAlignment="1">
      <alignment horizontal="center" vertical="center" wrapText="1"/>
    </xf>
  </cellXfs>
  <cellStyles count="5">
    <cellStyle name="Data" xfId="3" xr:uid="{33A69270-F9A5-5D4F-8981-A59C255D7602}"/>
    <cellStyle name="Moeda" xfId="1" builtinId="4"/>
    <cellStyle name="Normal" xfId="0" builtinId="0"/>
    <cellStyle name="Porcentagem" xfId="2" builtinId="5"/>
    <cellStyle name="Texto de tabela" xfId="4" xr:uid="{31D6BE1B-9727-8340-AF1B-AA99FA95357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585B5-69E3-0046-AE29-FF23BA263231}">
  <dimension ref="A1:L6"/>
  <sheetViews>
    <sheetView workbookViewId="0">
      <selection activeCell="K15" sqref="K15"/>
    </sheetView>
  </sheetViews>
  <sheetFormatPr baseColWidth="10" defaultRowHeight="16" x14ac:dyDescent="0.2"/>
  <cols>
    <col min="1" max="1" width="15.6640625" customWidth="1"/>
    <col min="2" max="2" width="14.5" customWidth="1"/>
    <col min="4" max="4" width="39.1640625" customWidth="1"/>
    <col min="5" max="5" width="112.83203125" customWidth="1"/>
    <col min="6" max="6" width="14.1640625" bestFit="1" customWidth="1"/>
    <col min="8" max="8" width="13.5" bestFit="1" customWidth="1"/>
    <col min="9" max="9" width="12.5" bestFit="1" customWidth="1"/>
    <col min="10" max="10" width="14.83203125" bestFit="1" customWidth="1"/>
    <col min="11" max="11" width="13" bestFit="1" customWidth="1"/>
    <col min="12" max="12" width="14.6640625" bestFit="1" customWidth="1"/>
  </cols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51" x14ac:dyDescent="0.2">
      <c r="A2" s="2" t="s">
        <v>12</v>
      </c>
      <c r="B2" s="2" t="s">
        <v>13</v>
      </c>
      <c r="C2" s="2" t="s">
        <v>14</v>
      </c>
      <c r="D2" s="2" t="s">
        <v>15</v>
      </c>
      <c r="E2" s="3" t="s">
        <v>16</v>
      </c>
      <c r="F2" s="4">
        <v>45832</v>
      </c>
      <c r="G2" s="4">
        <v>46111</v>
      </c>
      <c r="H2" s="5">
        <v>0.7</v>
      </c>
      <c r="I2" s="2">
        <f>G2-F2</f>
        <v>279</v>
      </c>
      <c r="J2" s="2"/>
      <c r="K2" s="7">
        <v>11650</v>
      </c>
      <c r="L2" s="2" t="s">
        <v>17</v>
      </c>
    </row>
    <row r="3" spans="1:12" ht="85" x14ac:dyDescent="0.2">
      <c r="A3" s="2" t="s">
        <v>18</v>
      </c>
      <c r="B3" s="2" t="s">
        <v>19</v>
      </c>
      <c r="C3" s="2" t="s">
        <v>20</v>
      </c>
      <c r="D3" s="3" t="s">
        <v>21</v>
      </c>
      <c r="E3" s="3" t="s">
        <v>22</v>
      </c>
      <c r="F3" s="4">
        <v>45838</v>
      </c>
      <c r="G3" s="4">
        <v>46050</v>
      </c>
      <c r="H3" s="5">
        <v>0.8</v>
      </c>
      <c r="I3" s="2">
        <f>G3-F3</f>
        <v>212</v>
      </c>
      <c r="J3" s="2"/>
      <c r="K3" s="7">
        <v>25410</v>
      </c>
      <c r="L3" s="2" t="s">
        <v>17</v>
      </c>
    </row>
    <row r="4" spans="1:12" ht="51" x14ac:dyDescent="0.2">
      <c r="A4" s="2" t="s">
        <v>23</v>
      </c>
      <c r="B4" s="2" t="s">
        <v>24</v>
      </c>
      <c r="C4" s="2" t="s">
        <v>25</v>
      </c>
      <c r="D4" s="2" t="s">
        <v>26</v>
      </c>
      <c r="E4" s="3" t="s">
        <v>27</v>
      </c>
      <c r="F4" s="2"/>
      <c r="G4" s="4">
        <v>46073</v>
      </c>
      <c r="H4" s="5">
        <v>0.9</v>
      </c>
      <c r="I4" s="2" t="s">
        <v>28</v>
      </c>
      <c r="J4" s="2"/>
      <c r="K4" s="7">
        <v>8300</v>
      </c>
      <c r="L4" s="2" t="s">
        <v>17</v>
      </c>
    </row>
    <row r="5" spans="1:12" x14ac:dyDescent="0.2">
      <c r="A5" s="2" t="s">
        <v>29</v>
      </c>
      <c r="B5" s="2" t="s">
        <v>32</v>
      </c>
      <c r="C5" s="2" t="s">
        <v>20</v>
      </c>
      <c r="D5" s="2" t="s">
        <v>31</v>
      </c>
      <c r="E5" s="2" t="s">
        <v>33</v>
      </c>
      <c r="F5" s="4">
        <v>45985</v>
      </c>
      <c r="G5" s="4">
        <v>46066</v>
      </c>
      <c r="H5" s="5">
        <v>0.5</v>
      </c>
      <c r="I5" s="2">
        <f t="shared" ref="I5:I6" si="0">G5-F5</f>
        <v>81</v>
      </c>
      <c r="J5" s="2"/>
      <c r="K5" s="7">
        <v>300</v>
      </c>
      <c r="L5" s="2" t="s">
        <v>17</v>
      </c>
    </row>
    <row r="6" spans="1:12" ht="68" x14ac:dyDescent="0.2">
      <c r="A6" s="2" t="s">
        <v>34</v>
      </c>
      <c r="B6" s="2" t="s">
        <v>35</v>
      </c>
      <c r="C6" s="2" t="s">
        <v>25</v>
      </c>
      <c r="D6" s="3" t="s">
        <v>36</v>
      </c>
      <c r="E6" s="3" t="s">
        <v>37</v>
      </c>
      <c r="F6" s="4">
        <v>45989</v>
      </c>
      <c r="G6" s="4">
        <v>46073</v>
      </c>
      <c r="H6" s="6">
        <v>0.3</v>
      </c>
      <c r="I6" s="2">
        <f t="shared" si="0"/>
        <v>84</v>
      </c>
      <c r="J6" s="2"/>
      <c r="K6" s="7">
        <v>19900</v>
      </c>
      <c r="L6" s="2" t="s">
        <v>17</v>
      </c>
    </row>
  </sheetData>
  <conditionalFormatting sqref="H2:H6">
    <cfRule type="dataBar" priority="1">
      <dataBar>
        <cfvo type="num" val="0"/>
        <cfvo type="num" val="1"/>
        <color theme="5"/>
      </dataBar>
      <extLst>
        <ext xmlns:x14="http://schemas.microsoft.com/office/spreadsheetml/2009/9/main" uri="{B025F937-C7B1-47D3-B67F-A62EFF666E3E}">
          <x14:id>{96A7A07D-2709-E845-A79B-DC4E454314D0}</x14:id>
        </ext>
      </extLst>
    </cfRule>
  </conditionalFormatting>
  <pageMargins left="0.511811024" right="0.511811024" top="0.78740157499999996" bottom="0.78740157499999996" header="0.31496062000000002" footer="0.3149606200000000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6A7A07D-2709-E845-A79B-DC4E454314D0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theme="5"/>
              <x14:negativeFillColor rgb="FFFF0000"/>
              <x14:negativeBorderColor rgb="FFFF0000"/>
              <x14:axisColor rgb="FF000000"/>
            </x14:dataBar>
          </x14:cfRule>
          <xm:sqref>H2:H6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0505C-251B-C44B-8A13-91EA1392A1EF}">
  <dimension ref="A1:H59"/>
  <sheetViews>
    <sheetView tabSelected="1" topLeftCell="A33" workbookViewId="0">
      <selection activeCell="J27" sqref="J27"/>
    </sheetView>
  </sheetViews>
  <sheetFormatPr baseColWidth="10" defaultRowHeight="16" x14ac:dyDescent="0.2"/>
  <cols>
    <col min="1" max="1" width="25.33203125" bestFit="1" customWidth="1"/>
    <col min="2" max="2" width="24.33203125" bestFit="1" customWidth="1"/>
    <col min="3" max="3" width="27.5" bestFit="1" customWidth="1"/>
    <col min="4" max="4" width="37.1640625" bestFit="1" customWidth="1"/>
  </cols>
  <sheetData>
    <row r="1" spans="1:8" x14ac:dyDescent="0.2">
      <c r="A1" s="8" t="s">
        <v>41</v>
      </c>
    </row>
    <row r="2" spans="1:8" ht="68" x14ac:dyDescent="0.2">
      <c r="A2" s="9" t="s">
        <v>0</v>
      </c>
      <c r="B2" s="9" t="s">
        <v>1</v>
      </c>
      <c r="C2" s="9" t="s">
        <v>3</v>
      </c>
      <c r="D2" s="9" t="s">
        <v>42</v>
      </c>
      <c r="E2" s="9" t="s">
        <v>43</v>
      </c>
      <c r="F2" s="9" t="s">
        <v>44</v>
      </c>
      <c r="G2" s="9" t="s">
        <v>45</v>
      </c>
      <c r="H2" s="9" t="s">
        <v>46</v>
      </c>
    </row>
    <row r="3" spans="1:8" ht="17" x14ac:dyDescent="0.2">
      <c r="A3" s="29" t="s">
        <v>47</v>
      </c>
      <c r="B3" s="29" t="s">
        <v>48</v>
      </c>
      <c r="C3" s="29" t="s">
        <v>49</v>
      </c>
      <c r="D3" s="28" t="s">
        <v>50</v>
      </c>
      <c r="E3" s="30">
        <v>45629</v>
      </c>
      <c r="F3" s="33">
        <v>45688</v>
      </c>
      <c r="G3" s="15">
        <f t="shared" ref="G3:G27" si="0">F3-E3</f>
        <v>59</v>
      </c>
      <c r="H3" s="31" t="s">
        <v>51</v>
      </c>
    </row>
    <row r="4" spans="1:8" ht="17" x14ac:dyDescent="0.2">
      <c r="A4" s="29" t="s">
        <v>47</v>
      </c>
      <c r="B4" s="29" t="s">
        <v>52</v>
      </c>
      <c r="C4" s="29" t="s">
        <v>49</v>
      </c>
      <c r="D4" s="28" t="s">
        <v>53</v>
      </c>
      <c r="E4" s="30">
        <v>45642</v>
      </c>
      <c r="F4" s="33">
        <v>45672</v>
      </c>
      <c r="G4" s="15">
        <f t="shared" si="0"/>
        <v>30</v>
      </c>
      <c r="H4" s="31" t="s">
        <v>51</v>
      </c>
    </row>
    <row r="5" spans="1:8" ht="17" x14ac:dyDescent="0.2">
      <c r="A5" s="29" t="s">
        <v>54</v>
      </c>
      <c r="B5" s="29" t="s">
        <v>55</v>
      </c>
      <c r="C5" s="29" t="s">
        <v>20</v>
      </c>
      <c r="D5" s="28" t="s">
        <v>56</v>
      </c>
      <c r="E5" s="35">
        <v>45677</v>
      </c>
      <c r="F5" s="35">
        <v>45677</v>
      </c>
      <c r="G5" s="15">
        <f t="shared" si="0"/>
        <v>0</v>
      </c>
      <c r="H5" s="31" t="s">
        <v>51</v>
      </c>
    </row>
    <row r="6" spans="1:8" ht="17" x14ac:dyDescent="0.2">
      <c r="A6" s="29" t="s">
        <v>54</v>
      </c>
      <c r="B6" s="29" t="s">
        <v>55</v>
      </c>
      <c r="C6" s="29" t="s">
        <v>20</v>
      </c>
      <c r="D6" s="28" t="s">
        <v>57</v>
      </c>
      <c r="E6" s="35">
        <v>45662</v>
      </c>
      <c r="F6" s="35">
        <v>45681</v>
      </c>
      <c r="G6" s="15">
        <f t="shared" si="0"/>
        <v>19</v>
      </c>
      <c r="H6" s="31" t="s">
        <v>51</v>
      </c>
    </row>
    <row r="7" spans="1:8" ht="17" x14ac:dyDescent="0.2">
      <c r="A7" s="38" t="s">
        <v>58</v>
      </c>
      <c r="B7" s="29" t="s">
        <v>59</v>
      </c>
      <c r="C7" s="29" t="s">
        <v>25</v>
      </c>
      <c r="D7" s="28" t="s">
        <v>60</v>
      </c>
      <c r="E7" s="35">
        <v>45674</v>
      </c>
      <c r="F7" s="35">
        <v>45692</v>
      </c>
      <c r="G7" s="15">
        <f t="shared" si="0"/>
        <v>18</v>
      </c>
      <c r="H7" s="31" t="s">
        <v>61</v>
      </c>
    </row>
    <row r="8" spans="1:8" ht="17" x14ac:dyDescent="0.2">
      <c r="A8" s="11" t="s">
        <v>62</v>
      </c>
      <c r="B8" s="29" t="s">
        <v>48</v>
      </c>
      <c r="C8" s="29" t="s">
        <v>49</v>
      </c>
      <c r="D8" s="28" t="s">
        <v>63</v>
      </c>
      <c r="E8" s="33">
        <v>45679</v>
      </c>
      <c r="F8" s="33">
        <v>45698</v>
      </c>
      <c r="G8" s="15">
        <f t="shared" si="0"/>
        <v>19</v>
      </c>
      <c r="H8" s="31" t="s">
        <v>61</v>
      </c>
    </row>
    <row r="9" spans="1:8" ht="17" x14ac:dyDescent="0.2">
      <c r="A9" s="11" t="s">
        <v>64</v>
      </c>
      <c r="B9" s="29" t="s">
        <v>48</v>
      </c>
      <c r="C9" s="29" t="s">
        <v>25</v>
      </c>
      <c r="D9" s="28" t="s">
        <v>65</v>
      </c>
      <c r="E9" s="35">
        <v>45677</v>
      </c>
      <c r="F9" s="35">
        <v>45705</v>
      </c>
      <c r="G9" s="15">
        <f t="shared" si="0"/>
        <v>28</v>
      </c>
      <c r="H9" s="31" t="s">
        <v>61</v>
      </c>
    </row>
    <row r="10" spans="1:8" ht="34" x14ac:dyDescent="0.2">
      <c r="A10" s="29" t="s">
        <v>66</v>
      </c>
      <c r="B10" s="29" t="s">
        <v>48</v>
      </c>
      <c r="C10" s="29" t="s">
        <v>67</v>
      </c>
      <c r="D10" s="28" t="s">
        <v>68</v>
      </c>
      <c r="E10" s="33">
        <v>45713</v>
      </c>
      <c r="F10" s="33">
        <v>45714</v>
      </c>
      <c r="G10" s="15">
        <v>1</v>
      </c>
      <c r="H10" s="31" t="s">
        <v>61</v>
      </c>
    </row>
    <row r="11" spans="1:8" ht="17" x14ac:dyDescent="0.2">
      <c r="A11" s="38" t="s">
        <v>69</v>
      </c>
      <c r="B11" s="29" t="s">
        <v>70</v>
      </c>
      <c r="C11" s="29" t="s">
        <v>20</v>
      </c>
      <c r="D11" s="28" t="s">
        <v>71</v>
      </c>
      <c r="E11" s="33">
        <v>44802</v>
      </c>
      <c r="F11" s="33">
        <v>45723</v>
      </c>
      <c r="G11" s="15">
        <f t="shared" si="0"/>
        <v>921</v>
      </c>
      <c r="H11" s="31" t="s">
        <v>72</v>
      </c>
    </row>
    <row r="12" spans="1:8" ht="17" x14ac:dyDescent="0.2">
      <c r="A12" s="11" t="s">
        <v>54</v>
      </c>
      <c r="B12" s="29" t="s">
        <v>55</v>
      </c>
      <c r="C12" s="29" t="s">
        <v>20</v>
      </c>
      <c r="D12" s="28" t="s">
        <v>73</v>
      </c>
      <c r="E12" s="33">
        <v>45631</v>
      </c>
      <c r="F12" s="10">
        <v>45723</v>
      </c>
      <c r="G12" s="15">
        <f t="shared" si="0"/>
        <v>92</v>
      </c>
      <c r="H12" s="31" t="s">
        <v>72</v>
      </c>
    </row>
    <row r="13" spans="1:8" ht="17" x14ac:dyDescent="0.2">
      <c r="A13" s="11" t="s">
        <v>74</v>
      </c>
      <c r="B13" s="29" t="s">
        <v>48</v>
      </c>
      <c r="C13" s="29" t="s">
        <v>49</v>
      </c>
      <c r="D13" s="28" t="s">
        <v>75</v>
      </c>
      <c r="E13" s="35">
        <v>45681</v>
      </c>
      <c r="F13" s="35">
        <v>45733</v>
      </c>
      <c r="G13" s="15">
        <f t="shared" si="0"/>
        <v>52</v>
      </c>
      <c r="H13" s="31" t="s">
        <v>72</v>
      </c>
    </row>
    <row r="14" spans="1:8" ht="34" x14ac:dyDescent="0.2">
      <c r="A14" s="11" t="s">
        <v>66</v>
      </c>
      <c r="B14" s="29" t="s">
        <v>48</v>
      </c>
      <c r="C14" s="29" t="s">
        <v>67</v>
      </c>
      <c r="D14" s="28" t="s">
        <v>76</v>
      </c>
      <c r="E14" s="33">
        <v>45727</v>
      </c>
      <c r="F14" s="33">
        <v>45733</v>
      </c>
      <c r="G14" s="15">
        <f t="shared" si="0"/>
        <v>6</v>
      </c>
      <c r="H14" s="31" t="s">
        <v>72</v>
      </c>
    </row>
    <row r="15" spans="1:8" ht="17" x14ac:dyDescent="0.2">
      <c r="A15" s="11" t="s">
        <v>69</v>
      </c>
      <c r="B15" s="28" t="s">
        <v>77</v>
      </c>
      <c r="C15" s="29" t="s">
        <v>20</v>
      </c>
      <c r="D15" s="28" t="s">
        <v>78</v>
      </c>
      <c r="E15" s="30">
        <v>45388</v>
      </c>
      <c r="F15" s="30">
        <v>45754</v>
      </c>
      <c r="G15" s="15">
        <f t="shared" si="0"/>
        <v>366</v>
      </c>
      <c r="H15" s="31" t="s">
        <v>79</v>
      </c>
    </row>
    <row r="16" spans="1:8" x14ac:dyDescent="0.2">
      <c r="A16" s="11" t="s">
        <v>69</v>
      </c>
      <c r="B16" s="32" t="s">
        <v>80</v>
      </c>
      <c r="C16" s="32" t="s">
        <v>20</v>
      </c>
      <c r="D16" s="32" t="s">
        <v>81</v>
      </c>
      <c r="E16" s="30">
        <v>45350</v>
      </c>
      <c r="F16" s="30">
        <v>45754</v>
      </c>
      <c r="G16" s="15">
        <f t="shared" si="0"/>
        <v>404</v>
      </c>
      <c r="H16" s="31" t="s">
        <v>79</v>
      </c>
    </row>
    <row r="17" spans="1:8" ht="17" x14ac:dyDescent="0.2">
      <c r="A17" s="11" t="s">
        <v>47</v>
      </c>
      <c r="B17" s="29" t="s">
        <v>48</v>
      </c>
      <c r="C17" s="29" t="s">
        <v>25</v>
      </c>
      <c r="D17" s="28" t="s">
        <v>82</v>
      </c>
      <c r="E17" s="33">
        <v>45694</v>
      </c>
      <c r="F17" s="33">
        <v>45751</v>
      </c>
      <c r="G17" s="15">
        <f t="shared" si="0"/>
        <v>57</v>
      </c>
      <c r="H17" s="31" t="s">
        <v>79</v>
      </c>
    </row>
    <row r="18" spans="1:8" x14ac:dyDescent="0.2">
      <c r="A18" s="29" t="s">
        <v>29</v>
      </c>
      <c r="B18" s="29" t="s">
        <v>83</v>
      </c>
      <c r="C18" s="29" t="s">
        <v>20</v>
      </c>
      <c r="D18" s="34" t="s">
        <v>84</v>
      </c>
      <c r="E18" s="35">
        <v>45750</v>
      </c>
      <c r="F18" s="35">
        <v>45776</v>
      </c>
      <c r="G18" s="15">
        <f t="shared" si="0"/>
        <v>26</v>
      </c>
      <c r="H18" s="31" t="s">
        <v>79</v>
      </c>
    </row>
    <row r="19" spans="1:8" x14ac:dyDescent="0.2">
      <c r="A19" s="29" t="s">
        <v>29</v>
      </c>
      <c r="B19" s="29" t="s">
        <v>85</v>
      </c>
      <c r="C19" s="29" t="s">
        <v>20</v>
      </c>
      <c r="D19" s="34" t="s">
        <v>84</v>
      </c>
      <c r="E19" s="35">
        <v>45750</v>
      </c>
      <c r="F19" s="35">
        <v>45776</v>
      </c>
      <c r="G19" s="15">
        <f t="shared" si="0"/>
        <v>26</v>
      </c>
      <c r="H19" s="31" t="s">
        <v>79</v>
      </c>
    </row>
    <row r="20" spans="1:8" x14ac:dyDescent="0.2">
      <c r="A20" s="29" t="s">
        <v>29</v>
      </c>
      <c r="B20" s="29" t="s">
        <v>86</v>
      </c>
      <c r="C20" s="29" t="s">
        <v>20</v>
      </c>
      <c r="D20" s="34" t="s">
        <v>87</v>
      </c>
      <c r="E20" s="35">
        <v>45750</v>
      </c>
      <c r="F20" s="35">
        <v>45776</v>
      </c>
      <c r="G20" s="15">
        <f t="shared" si="0"/>
        <v>26</v>
      </c>
      <c r="H20" s="31" t="s">
        <v>79</v>
      </c>
    </row>
    <row r="21" spans="1:8" x14ac:dyDescent="0.2">
      <c r="A21" s="34" t="s">
        <v>29</v>
      </c>
      <c r="B21" s="34" t="s">
        <v>88</v>
      </c>
      <c r="C21" s="34" t="s">
        <v>20</v>
      </c>
      <c r="D21" s="34" t="s">
        <v>89</v>
      </c>
      <c r="E21" s="35">
        <v>45770</v>
      </c>
      <c r="F21" s="35">
        <v>45800</v>
      </c>
      <c r="G21" s="15">
        <f t="shared" si="0"/>
        <v>30</v>
      </c>
      <c r="H21" s="31" t="s">
        <v>90</v>
      </c>
    </row>
    <row r="22" spans="1:8" x14ac:dyDescent="0.2">
      <c r="A22" s="34" t="s">
        <v>29</v>
      </c>
      <c r="B22" s="34" t="s">
        <v>91</v>
      </c>
      <c r="C22" s="34" t="s">
        <v>20</v>
      </c>
      <c r="D22" s="34" t="s">
        <v>89</v>
      </c>
      <c r="E22" s="35">
        <v>45770</v>
      </c>
      <c r="F22" s="35">
        <v>45800</v>
      </c>
      <c r="G22" s="15">
        <f t="shared" si="0"/>
        <v>30</v>
      </c>
      <c r="H22" s="31" t="s">
        <v>90</v>
      </c>
    </row>
    <row r="23" spans="1:8" x14ac:dyDescent="0.2">
      <c r="A23" s="34" t="s">
        <v>29</v>
      </c>
      <c r="B23" s="34" t="s">
        <v>92</v>
      </c>
      <c r="C23" s="34" t="s">
        <v>20</v>
      </c>
      <c r="D23" s="34" t="s">
        <v>89</v>
      </c>
      <c r="E23" s="35">
        <v>45770</v>
      </c>
      <c r="F23" s="35">
        <v>45800</v>
      </c>
      <c r="G23" s="15">
        <f t="shared" si="0"/>
        <v>30</v>
      </c>
      <c r="H23" s="31" t="s">
        <v>90</v>
      </c>
    </row>
    <row r="24" spans="1:8" x14ac:dyDescent="0.2">
      <c r="A24" s="34" t="s">
        <v>29</v>
      </c>
      <c r="B24" s="34" t="s">
        <v>93</v>
      </c>
      <c r="C24" s="34" t="s">
        <v>20</v>
      </c>
      <c r="D24" s="34" t="s">
        <v>89</v>
      </c>
      <c r="E24" s="35">
        <v>45770</v>
      </c>
      <c r="F24" s="35">
        <v>45800</v>
      </c>
      <c r="G24" s="15">
        <f t="shared" si="0"/>
        <v>30</v>
      </c>
      <c r="H24" s="31" t="s">
        <v>90</v>
      </c>
    </row>
    <row r="25" spans="1:8" x14ac:dyDescent="0.2">
      <c r="A25" s="34" t="s">
        <v>29</v>
      </c>
      <c r="B25" s="34" t="s">
        <v>94</v>
      </c>
      <c r="C25" s="34" t="s">
        <v>20</v>
      </c>
      <c r="D25" s="34" t="s">
        <v>95</v>
      </c>
      <c r="E25" s="35">
        <v>45770</v>
      </c>
      <c r="F25" s="35">
        <v>45800</v>
      </c>
      <c r="G25" s="15">
        <f t="shared" si="0"/>
        <v>30</v>
      </c>
      <c r="H25" s="31" t="s">
        <v>90</v>
      </c>
    </row>
    <row r="26" spans="1:8" x14ac:dyDescent="0.2">
      <c r="A26" s="34" t="s">
        <v>29</v>
      </c>
      <c r="B26" s="29" t="s">
        <v>96</v>
      </c>
      <c r="C26" s="29" t="s">
        <v>25</v>
      </c>
      <c r="D26" s="29" t="s">
        <v>97</v>
      </c>
      <c r="E26" s="33">
        <v>45799</v>
      </c>
      <c r="F26" s="33">
        <v>45830</v>
      </c>
      <c r="G26" s="15">
        <f t="shared" si="0"/>
        <v>31</v>
      </c>
      <c r="H26" s="31" t="s">
        <v>98</v>
      </c>
    </row>
    <row r="27" spans="1:8" x14ac:dyDescent="0.2">
      <c r="A27" s="34" t="s">
        <v>29</v>
      </c>
      <c r="B27" s="29" t="s">
        <v>99</v>
      </c>
      <c r="C27" s="29" t="s">
        <v>25</v>
      </c>
      <c r="D27" s="29" t="s">
        <v>100</v>
      </c>
      <c r="E27" s="33">
        <v>45799</v>
      </c>
      <c r="F27" s="33">
        <v>45826</v>
      </c>
      <c r="G27" s="15">
        <f t="shared" si="0"/>
        <v>27</v>
      </c>
      <c r="H27" s="31" t="s">
        <v>98</v>
      </c>
    </row>
    <row r="28" spans="1:8" x14ac:dyDescent="0.2">
      <c r="A28" s="11" t="s">
        <v>69</v>
      </c>
      <c r="B28" s="11" t="s">
        <v>101</v>
      </c>
      <c r="C28" s="11" t="s">
        <v>20</v>
      </c>
      <c r="D28" s="11" t="s">
        <v>102</v>
      </c>
      <c r="E28" s="16">
        <v>44802</v>
      </c>
      <c r="F28" s="16">
        <v>45814</v>
      </c>
      <c r="G28" s="15">
        <f>F28-E28</f>
        <v>1012</v>
      </c>
      <c r="H28" s="31" t="s">
        <v>98</v>
      </c>
    </row>
    <row r="29" spans="1:8" ht="17" x14ac:dyDescent="0.2">
      <c r="A29" s="11" t="s">
        <v>69</v>
      </c>
      <c r="B29" s="17" t="s">
        <v>103</v>
      </c>
      <c r="C29" s="17" t="s">
        <v>20</v>
      </c>
      <c r="D29" s="18" t="s">
        <v>104</v>
      </c>
      <c r="E29" s="30">
        <v>44832</v>
      </c>
      <c r="F29" s="30">
        <v>45811</v>
      </c>
      <c r="G29" s="15">
        <f>F29-E29</f>
        <v>979</v>
      </c>
      <c r="H29" s="31" t="s">
        <v>98</v>
      </c>
    </row>
    <row r="30" spans="1:8" ht="17" x14ac:dyDescent="0.2">
      <c r="A30" s="11" t="s">
        <v>69</v>
      </c>
      <c r="B30" s="29" t="s">
        <v>105</v>
      </c>
      <c r="C30" s="29" t="s">
        <v>20</v>
      </c>
      <c r="D30" s="28" t="s">
        <v>106</v>
      </c>
      <c r="E30" s="30">
        <v>45022</v>
      </c>
      <c r="F30" s="30">
        <v>45828</v>
      </c>
      <c r="G30" s="15">
        <f>F30-E30</f>
        <v>806</v>
      </c>
      <c r="H30" s="31" t="s">
        <v>98</v>
      </c>
    </row>
    <row r="31" spans="1:8" ht="17" x14ac:dyDescent="0.2">
      <c r="A31" s="34" t="s">
        <v>107</v>
      </c>
      <c r="B31" s="34" t="s">
        <v>48</v>
      </c>
      <c r="C31" s="34" t="s">
        <v>108</v>
      </c>
      <c r="D31" s="34" t="s">
        <v>109</v>
      </c>
      <c r="E31" s="36"/>
      <c r="F31" s="37">
        <v>45825</v>
      </c>
      <c r="G31" s="15" t="s">
        <v>110</v>
      </c>
      <c r="H31" s="31" t="s">
        <v>98</v>
      </c>
    </row>
    <row r="32" spans="1:8" ht="17" x14ac:dyDescent="0.2">
      <c r="A32" s="28" t="s">
        <v>111</v>
      </c>
      <c r="B32" s="29" t="s">
        <v>48</v>
      </c>
      <c r="C32" s="29" t="s">
        <v>25</v>
      </c>
      <c r="D32" s="29" t="s">
        <v>112</v>
      </c>
      <c r="E32" s="33">
        <v>45775</v>
      </c>
      <c r="F32" s="33">
        <v>45812</v>
      </c>
      <c r="G32" s="15">
        <f t="shared" ref="G32:G59" si="1">F32-E32</f>
        <v>37</v>
      </c>
      <c r="H32" s="31" t="s">
        <v>98</v>
      </c>
    </row>
    <row r="33" spans="1:8" x14ac:dyDescent="0.2">
      <c r="A33" s="34" t="s">
        <v>113</v>
      </c>
      <c r="B33" s="34" t="s">
        <v>48</v>
      </c>
      <c r="C33" s="34" t="s">
        <v>67</v>
      </c>
      <c r="D33" s="34" t="s">
        <v>114</v>
      </c>
      <c r="E33" s="35">
        <v>45826</v>
      </c>
      <c r="F33" s="35">
        <v>45838</v>
      </c>
      <c r="G33" s="15">
        <f t="shared" si="1"/>
        <v>12</v>
      </c>
      <c r="H33" s="31" t="s">
        <v>98</v>
      </c>
    </row>
    <row r="34" spans="1:8" ht="34" x14ac:dyDescent="0.2">
      <c r="A34" s="11" t="s">
        <v>69</v>
      </c>
      <c r="B34" s="28" t="s">
        <v>115</v>
      </c>
      <c r="C34" s="29" t="s">
        <v>20</v>
      </c>
      <c r="D34" s="28" t="s">
        <v>116</v>
      </c>
      <c r="E34" s="30">
        <v>45448</v>
      </c>
      <c r="F34" s="30">
        <v>45842</v>
      </c>
      <c r="G34" s="15">
        <f t="shared" si="1"/>
        <v>394</v>
      </c>
      <c r="H34" s="31" t="s">
        <v>117</v>
      </c>
    </row>
    <row r="35" spans="1:8" ht="34" x14ac:dyDescent="0.2">
      <c r="A35" s="11" t="s">
        <v>69</v>
      </c>
      <c r="B35" s="28" t="s">
        <v>118</v>
      </c>
      <c r="C35" s="29" t="s">
        <v>20</v>
      </c>
      <c r="D35" s="28" t="s">
        <v>119</v>
      </c>
      <c r="E35" s="30">
        <v>45504</v>
      </c>
      <c r="F35" s="30">
        <v>45834</v>
      </c>
      <c r="G35" s="15">
        <f t="shared" si="1"/>
        <v>330</v>
      </c>
      <c r="H35" s="31" t="s">
        <v>117</v>
      </c>
    </row>
    <row r="36" spans="1:8" ht="34" x14ac:dyDescent="0.2">
      <c r="A36" s="11" t="s">
        <v>69</v>
      </c>
      <c r="B36" s="28" t="s">
        <v>120</v>
      </c>
      <c r="C36" s="29" t="s">
        <v>20</v>
      </c>
      <c r="D36" s="28" t="s">
        <v>121</v>
      </c>
      <c r="E36" s="30">
        <v>45504</v>
      </c>
      <c r="F36" s="30">
        <v>45849</v>
      </c>
      <c r="G36" s="15">
        <f t="shared" si="1"/>
        <v>345</v>
      </c>
      <c r="H36" s="31" t="s">
        <v>117</v>
      </c>
    </row>
    <row r="37" spans="1:8" ht="34" x14ac:dyDescent="0.2">
      <c r="A37" s="11" t="s">
        <v>69</v>
      </c>
      <c r="B37" s="28" t="s">
        <v>122</v>
      </c>
      <c r="C37" s="29" t="s">
        <v>20</v>
      </c>
      <c r="D37" s="28" t="s">
        <v>123</v>
      </c>
      <c r="E37" s="30">
        <v>45504</v>
      </c>
      <c r="F37" s="30">
        <v>45859</v>
      </c>
      <c r="G37" s="15">
        <f t="shared" si="1"/>
        <v>355</v>
      </c>
      <c r="H37" s="31" t="s">
        <v>117</v>
      </c>
    </row>
    <row r="38" spans="1:8" x14ac:dyDescent="0.2">
      <c r="A38" s="29" t="s">
        <v>124</v>
      </c>
      <c r="B38" s="29" t="s">
        <v>59</v>
      </c>
      <c r="C38" s="29" t="s">
        <v>20</v>
      </c>
      <c r="D38" s="29" t="s">
        <v>125</v>
      </c>
      <c r="E38" s="33">
        <v>45845</v>
      </c>
      <c r="F38" s="33">
        <v>45852</v>
      </c>
      <c r="G38" s="15">
        <f t="shared" si="1"/>
        <v>7</v>
      </c>
      <c r="H38" s="31" t="s">
        <v>117</v>
      </c>
    </row>
    <row r="39" spans="1:8" x14ac:dyDescent="0.2">
      <c r="A39" s="11" t="s">
        <v>69</v>
      </c>
      <c r="B39" s="32" t="s">
        <v>126</v>
      </c>
      <c r="C39" s="32" t="s">
        <v>20</v>
      </c>
      <c r="D39" s="32" t="s">
        <v>127</v>
      </c>
      <c r="E39" s="30">
        <v>44832</v>
      </c>
      <c r="F39" s="30">
        <v>45894</v>
      </c>
      <c r="G39" s="15">
        <f t="shared" si="1"/>
        <v>1062</v>
      </c>
      <c r="H39" s="31" t="s">
        <v>128</v>
      </c>
    </row>
    <row r="40" spans="1:8" x14ac:dyDescent="0.2">
      <c r="A40" s="29" t="s">
        <v>129</v>
      </c>
      <c r="B40" s="29" t="s">
        <v>130</v>
      </c>
      <c r="C40" s="29" t="s">
        <v>49</v>
      </c>
      <c r="D40" s="29" t="s">
        <v>131</v>
      </c>
      <c r="E40" s="33">
        <v>45867</v>
      </c>
      <c r="F40" s="33">
        <v>45894</v>
      </c>
      <c r="G40" s="15">
        <f t="shared" si="1"/>
        <v>27</v>
      </c>
      <c r="H40" s="31" t="s">
        <v>128</v>
      </c>
    </row>
    <row r="41" spans="1:8" x14ac:dyDescent="0.2">
      <c r="A41" s="29" t="s">
        <v>132</v>
      </c>
      <c r="B41" s="29" t="s">
        <v>133</v>
      </c>
      <c r="C41" s="29" t="s">
        <v>20</v>
      </c>
      <c r="D41" s="29" t="s">
        <v>134</v>
      </c>
      <c r="E41" s="33">
        <v>45828</v>
      </c>
      <c r="F41" s="33">
        <v>45889</v>
      </c>
      <c r="G41" s="15">
        <f t="shared" si="1"/>
        <v>61</v>
      </c>
      <c r="H41" s="31" t="s">
        <v>128</v>
      </c>
    </row>
    <row r="42" spans="1:8" x14ac:dyDescent="0.2">
      <c r="A42" s="29" t="s">
        <v>135</v>
      </c>
      <c r="B42" s="29" t="s">
        <v>59</v>
      </c>
      <c r="C42" s="29" t="s">
        <v>49</v>
      </c>
      <c r="D42" s="29" t="s">
        <v>136</v>
      </c>
      <c r="E42" s="33">
        <v>45869</v>
      </c>
      <c r="F42" s="33">
        <v>45888</v>
      </c>
      <c r="G42" s="15">
        <f t="shared" si="1"/>
        <v>19</v>
      </c>
      <c r="H42" s="31" t="s">
        <v>128</v>
      </c>
    </row>
    <row r="43" spans="1:8" x14ac:dyDescent="0.2">
      <c r="A43" s="29" t="s">
        <v>137</v>
      </c>
      <c r="B43" s="29" t="s">
        <v>133</v>
      </c>
      <c r="C43" s="29" t="s">
        <v>138</v>
      </c>
      <c r="D43" s="29" t="s">
        <v>139</v>
      </c>
      <c r="E43" s="33">
        <v>45881</v>
      </c>
      <c r="F43" s="35">
        <v>45887</v>
      </c>
      <c r="G43" s="15">
        <f t="shared" si="1"/>
        <v>6</v>
      </c>
      <c r="H43" s="31" t="s">
        <v>128</v>
      </c>
    </row>
    <row r="44" spans="1:8" x14ac:dyDescent="0.2">
      <c r="A44" s="29" t="s">
        <v>29</v>
      </c>
      <c r="B44" s="29" t="s">
        <v>140</v>
      </c>
      <c r="C44" s="29" t="s">
        <v>20</v>
      </c>
      <c r="D44" s="29" t="s">
        <v>141</v>
      </c>
      <c r="E44" s="35">
        <v>45888</v>
      </c>
      <c r="F44" s="35">
        <v>45891</v>
      </c>
      <c r="G44" s="15">
        <f t="shared" si="1"/>
        <v>3</v>
      </c>
      <c r="H44" s="31" t="s">
        <v>128</v>
      </c>
    </row>
    <row r="45" spans="1:8" x14ac:dyDescent="0.2">
      <c r="A45" s="29" t="s">
        <v>142</v>
      </c>
      <c r="B45" s="29" t="s">
        <v>13</v>
      </c>
      <c r="C45" s="29" t="s">
        <v>49</v>
      </c>
      <c r="D45" s="29" t="s">
        <v>131</v>
      </c>
      <c r="E45" s="33">
        <v>45833</v>
      </c>
      <c r="F45" s="33">
        <v>45887</v>
      </c>
      <c r="G45" s="15">
        <f t="shared" si="1"/>
        <v>54</v>
      </c>
      <c r="H45" s="31" t="s">
        <v>128</v>
      </c>
    </row>
    <row r="46" spans="1:8" x14ac:dyDescent="0.2">
      <c r="A46" s="29" t="s">
        <v>23</v>
      </c>
      <c r="B46" s="29" t="s">
        <v>48</v>
      </c>
      <c r="C46" s="29" t="s">
        <v>25</v>
      </c>
      <c r="D46" s="29" t="s">
        <v>143</v>
      </c>
      <c r="E46" s="33">
        <v>45782</v>
      </c>
      <c r="F46" s="33">
        <v>45917</v>
      </c>
      <c r="G46" s="15">
        <f t="shared" si="1"/>
        <v>135</v>
      </c>
      <c r="H46" s="31" t="s">
        <v>144</v>
      </c>
    </row>
    <row r="47" spans="1:8" x14ac:dyDescent="0.2">
      <c r="A47" s="29" t="s">
        <v>145</v>
      </c>
      <c r="B47" s="29" t="s">
        <v>48</v>
      </c>
      <c r="C47" s="29" t="s">
        <v>20</v>
      </c>
      <c r="D47" s="29" t="s">
        <v>146</v>
      </c>
      <c r="E47" s="33">
        <v>45856</v>
      </c>
      <c r="F47" s="33">
        <v>45911</v>
      </c>
      <c r="G47" s="15">
        <f t="shared" si="1"/>
        <v>55</v>
      </c>
      <c r="H47" s="31" t="s">
        <v>144</v>
      </c>
    </row>
    <row r="48" spans="1:8" x14ac:dyDescent="0.2">
      <c r="A48" s="29" t="s">
        <v>113</v>
      </c>
      <c r="B48" s="29" t="s">
        <v>48</v>
      </c>
      <c r="C48" s="29" t="s">
        <v>67</v>
      </c>
      <c r="D48" s="29" t="s">
        <v>147</v>
      </c>
      <c r="E48" s="35">
        <v>45912</v>
      </c>
      <c r="F48" s="35">
        <v>45916</v>
      </c>
      <c r="G48" s="15">
        <f t="shared" si="1"/>
        <v>4</v>
      </c>
      <c r="H48" s="31" t="s">
        <v>144</v>
      </c>
    </row>
    <row r="49" spans="1:8" x14ac:dyDescent="0.2">
      <c r="A49" s="29" t="s">
        <v>113</v>
      </c>
      <c r="B49" s="29" t="s">
        <v>48</v>
      </c>
      <c r="C49" s="29" t="s">
        <v>148</v>
      </c>
      <c r="D49" s="29" t="s">
        <v>149</v>
      </c>
      <c r="E49" s="35">
        <v>45883</v>
      </c>
      <c r="F49" s="35">
        <v>45933</v>
      </c>
      <c r="G49" s="15">
        <f t="shared" si="1"/>
        <v>50</v>
      </c>
      <c r="H49" s="31" t="s">
        <v>150</v>
      </c>
    </row>
    <row r="50" spans="1:8" ht="17" x14ac:dyDescent="0.2">
      <c r="A50" s="11" t="s">
        <v>151</v>
      </c>
      <c r="B50" s="29" t="s">
        <v>152</v>
      </c>
      <c r="C50" s="29" t="s">
        <v>20</v>
      </c>
      <c r="D50" s="28" t="s">
        <v>153</v>
      </c>
      <c r="E50" s="33">
        <v>45602</v>
      </c>
      <c r="F50" s="33">
        <v>45938</v>
      </c>
      <c r="G50" s="15">
        <f t="shared" si="1"/>
        <v>336</v>
      </c>
      <c r="H50" s="19" t="s">
        <v>150</v>
      </c>
    </row>
    <row r="51" spans="1:8" x14ac:dyDescent="0.2">
      <c r="A51" s="29" t="s">
        <v>154</v>
      </c>
      <c r="B51" s="29" t="s">
        <v>133</v>
      </c>
      <c r="C51" s="29" t="s">
        <v>20</v>
      </c>
      <c r="D51" s="29" t="s">
        <v>155</v>
      </c>
      <c r="E51" s="35">
        <v>45938</v>
      </c>
      <c r="F51" s="35">
        <v>45957</v>
      </c>
      <c r="G51" s="15">
        <f t="shared" si="1"/>
        <v>19</v>
      </c>
      <c r="H51" s="31" t="s">
        <v>150</v>
      </c>
    </row>
    <row r="52" spans="1:8" x14ac:dyDescent="0.2">
      <c r="A52" s="29" t="s">
        <v>156</v>
      </c>
      <c r="B52" s="29" t="s">
        <v>48</v>
      </c>
      <c r="C52" s="29" t="s">
        <v>49</v>
      </c>
      <c r="D52" s="29" t="s">
        <v>157</v>
      </c>
      <c r="E52" s="35">
        <v>45884</v>
      </c>
      <c r="F52" s="35">
        <v>45975</v>
      </c>
      <c r="G52" s="15">
        <f t="shared" si="1"/>
        <v>91</v>
      </c>
      <c r="H52" s="31" t="s">
        <v>158</v>
      </c>
    </row>
    <row r="53" spans="1:8" x14ac:dyDescent="0.2">
      <c r="A53" s="29" t="s">
        <v>159</v>
      </c>
      <c r="B53" s="29" t="s">
        <v>48</v>
      </c>
      <c r="C53" s="29" t="s">
        <v>20</v>
      </c>
      <c r="D53" s="29" t="s">
        <v>160</v>
      </c>
      <c r="E53" s="35">
        <v>45959</v>
      </c>
      <c r="F53" s="35">
        <v>45986</v>
      </c>
      <c r="G53" s="15">
        <f t="shared" si="1"/>
        <v>27</v>
      </c>
      <c r="H53" s="31" t="s">
        <v>158</v>
      </c>
    </row>
    <row r="54" spans="1:8" x14ac:dyDescent="0.2">
      <c r="A54" s="29" t="s">
        <v>29</v>
      </c>
      <c r="B54" s="29" t="s">
        <v>30</v>
      </c>
      <c r="C54" s="29" t="s">
        <v>20</v>
      </c>
      <c r="D54" s="29" t="s">
        <v>31</v>
      </c>
      <c r="E54" s="33">
        <v>45985</v>
      </c>
      <c r="F54" s="33">
        <v>46000</v>
      </c>
      <c r="G54" s="15">
        <f t="shared" si="1"/>
        <v>15</v>
      </c>
      <c r="H54" s="31" t="s">
        <v>161</v>
      </c>
    </row>
    <row r="55" spans="1:8" x14ac:dyDescent="0.2">
      <c r="A55" s="20"/>
      <c r="B55" s="20"/>
      <c r="C55" s="20"/>
      <c r="D55" s="20"/>
      <c r="E55" s="21"/>
      <c r="F55" s="21"/>
      <c r="G55" s="22"/>
      <c r="H55" s="23"/>
    </row>
    <row r="56" spans="1:8" x14ac:dyDescent="0.2">
      <c r="A56" s="20"/>
      <c r="B56" s="20"/>
      <c r="C56" s="20"/>
      <c r="D56" s="20"/>
      <c r="E56" s="21"/>
      <c r="F56" s="21"/>
      <c r="G56" s="22"/>
      <c r="H56" s="23"/>
    </row>
    <row r="57" spans="1:8" x14ac:dyDescent="0.2">
      <c r="A57" s="8" t="s">
        <v>162</v>
      </c>
      <c r="B57" s="24"/>
      <c r="C57" s="24"/>
      <c r="D57" s="24"/>
      <c r="E57" s="25"/>
      <c r="F57" s="25"/>
      <c r="G57" s="26"/>
      <c r="H57" s="27"/>
    </row>
    <row r="58" spans="1:8" ht="68" x14ac:dyDescent="0.2">
      <c r="A58" s="9" t="s">
        <v>0</v>
      </c>
      <c r="B58" s="9" t="s">
        <v>1</v>
      </c>
      <c r="C58" s="9" t="s">
        <v>3</v>
      </c>
      <c r="D58" s="9" t="s">
        <v>42</v>
      </c>
      <c r="E58" s="9" t="s">
        <v>43</v>
      </c>
      <c r="F58" s="9" t="s">
        <v>44</v>
      </c>
      <c r="G58" s="9" t="s">
        <v>45</v>
      </c>
      <c r="H58" s="9" t="s">
        <v>46</v>
      </c>
    </row>
    <row r="59" spans="1:8" x14ac:dyDescent="0.2">
      <c r="A59" s="12" t="s">
        <v>38</v>
      </c>
      <c r="B59" s="12" t="s">
        <v>39</v>
      </c>
      <c r="C59" s="12" t="s">
        <v>20</v>
      </c>
      <c r="D59" s="12" t="s">
        <v>40</v>
      </c>
      <c r="E59" s="14">
        <v>46013</v>
      </c>
      <c r="F59" s="14">
        <v>46031</v>
      </c>
      <c r="G59" s="15">
        <f t="shared" si="1"/>
        <v>18</v>
      </c>
      <c r="H59" s="13" t="s">
        <v>51</v>
      </c>
    </row>
  </sheetData>
  <conditionalFormatting sqref="H50">
    <cfRule type="dataBar" priority="1">
      <dataBar>
        <cfvo type="num" val="0"/>
        <cfvo type="num" val="1"/>
        <color theme="5"/>
      </dataBar>
      <extLst>
        <ext xmlns:x14="http://schemas.microsoft.com/office/spreadsheetml/2009/9/main" uri="{B025F937-C7B1-47D3-B67F-A62EFF666E3E}">
          <x14:id>{15F7034F-BD56-B74F-9253-DCB26FAE9867}</x14:id>
        </ext>
      </extLst>
    </cfRule>
  </conditionalFormatting>
  <pageMargins left="0.511811024" right="0.511811024" top="0.78740157499999996" bottom="0.78740157499999996" header="0.31496062000000002" footer="0.3149606200000000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5F7034F-BD56-B74F-9253-DCB26FAE9867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theme="5"/>
              <x14:negativeFillColor rgb="FFFF0000"/>
              <x14:negativeBorderColor rgb="FFFF0000"/>
              <x14:axisColor rgb="FF000000"/>
            </x14:dataBar>
          </x14:cfRule>
          <xm:sqref>H50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EM ATIVAÇÃO</vt:lpstr>
      <vt:lpstr>ATIVADOS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Paiva</dc:creator>
  <cp:lastModifiedBy>Rafael Paiva</cp:lastModifiedBy>
  <dcterms:created xsi:type="dcterms:W3CDTF">2026-02-04T14:13:33Z</dcterms:created>
  <dcterms:modified xsi:type="dcterms:W3CDTF">2026-02-04T14:30:29Z</dcterms:modified>
</cp:coreProperties>
</file>